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<sst xmlns="http://schemas.openxmlformats.org/spreadsheetml/2006/main" count="100" uniqueCount="100">
  <si>
    <t>Ticker</t>
  </si>
  <si>
    <t>Recent Price</t>
  </si>
  <si>
    <t>Price Change</t>
  </si>
  <si>
    <t>PE</t>
  </si>
  <si>
    <t>EPS</t>
  </si>
  <si>
    <t xml:space="preserve">AAPL </t>
  </si>
  <si>
    <t>MSFT</t>
  </si>
  <si>
    <t>NVDA</t>
  </si>
  <si>
    <t>AMZN</t>
  </si>
  <si>
    <t>GOOGL</t>
  </si>
  <si>
    <t>GOOG</t>
  </si>
  <si>
    <t>META</t>
  </si>
  <si>
    <t>BRK.B</t>
  </si>
  <si>
    <t>LLY</t>
  </si>
  <si>
    <t>AVGO</t>
  </si>
  <si>
    <t>JPM</t>
  </si>
  <si>
    <t>TSLA</t>
  </si>
  <si>
    <t>JNJ</t>
  </si>
  <si>
    <t>V</t>
  </si>
  <si>
    <t>XOM</t>
  </si>
  <si>
    <t>UNH</t>
  </si>
  <si>
    <t>PG</t>
  </si>
  <si>
    <t>MA</t>
  </si>
  <si>
    <t>COST</t>
  </si>
  <si>
    <t>HD</t>
  </si>
  <si>
    <t>MRK</t>
  </si>
  <si>
    <t>ORCL</t>
  </si>
  <si>
    <t>ABBV</t>
  </si>
  <si>
    <t>WMT</t>
  </si>
  <si>
    <t>BAC</t>
  </si>
  <si>
    <t>PEP</t>
  </si>
  <si>
    <t>KO</t>
  </si>
  <si>
    <t>CRM</t>
  </si>
  <si>
    <t>CVX</t>
  </si>
  <si>
    <t>TMO</t>
  </si>
  <si>
    <t>ADBE</t>
  </si>
  <si>
    <t>ACN</t>
  </si>
  <si>
    <t>MCD</t>
  </si>
  <si>
    <t>AMD</t>
  </si>
  <si>
    <t>NFLX</t>
  </si>
  <si>
    <t>LIN</t>
  </si>
  <si>
    <t>DHR</t>
  </si>
  <si>
    <t>WFC</t>
  </si>
  <si>
    <t>IBM</t>
  </si>
  <si>
    <t>TXN</t>
  </si>
  <si>
    <t>PM</t>
  </si>
  <si>
    <t>CAT</t>
  </si>
  <si>
    <t>GE</t>
  </si>
  <si>
    <t>AMGN</t>
  </si>
  <si>
    <t>HON</t>
  </si>
  <si>
    <t>MS</t>
  </si>
  <si>
    <t>UNP</t>
  </si>
  <si>
    <t>VZ</t>
  </si>
  <si>
    <t>NKE</t>
  </si>
  <si>
    <t>UPS</t>
  </si>
  <si>
    <t>SBUX</t>
  </si>
  <si>
    <t>BKNG</t>
  </si>
  <si>
    <t>SPGI</t>
  </si>
  <si>
    <t>GS</t>
  </si>
  <si>
    <t>BLK</t>
  </si>
  <si>
    <t>ISRG</t>
  </si>
  <si>
    <t>AMAT</t>
  </si>
  <si>
    <t>LMT</t>
  </si>
  <si>
    <t>ADI</t>
  </si>
  <si>
    <t>DE</t>
  </si>
  <si>
    <t>MDLZ</t>
  </si>
  <si>
    <t>SYK</t>
  </si>
  <si>
    <t>C</t>
  </si>
  <si>
    <t>CB</t>
  </si>
  <si>
    <t>SCHW</t>
  </si>
  <si>
    <t>CI</t>
  </si>
  <si>
    <t>PGR</t>
  </si>
  <si>
    <t>PLD</t>
  </si>
  <si>
    <t>T</t>
  </si>
  <si>
    <t>GILD</t>
  </si>
  <si>
    <t>NOW</t>
  </si>
  <si>
    <t>PYPL</t>
  </si>
  <si>
    <t>MO</t>
  </si>
  <si>
    <t>INTU</t>
  </si>
  <si>
    <t>REGN</t>
  </si>
  <si>
    <t>ZTS</t>
  </si>
  <si>
    <t>EQIX</t>
  </si>
  <si>
    <t>ICE</t>
  </si>
  <si>
    <t>CME</t>
  </si>
  <si>
    <t>FISV</t>
  </si>
  <si>
    <t>ADP</t>
  </si>
  <si>
    <t>CL</t>
  </si>
  <si>
    <t>SO</t>
  </si>
  <si>
    <t>DUKE</t>
  </si>
  <si>
    <t>EOG</t>
  </si>
  <si>
    <t>COP</t>
  </si>
  <si>
    <t>SLB</t>
  </si>
  <si>
    <t>KMI</t>
  </si>
  <si>
    <t>AEP</t>
  </si>
  <si>
    <t>D</t>
  </si>
  <si>
    <t>EXC</t>
  </si>
  <si>
    <t>NEE</t>
  </si>
  <si>
    <t>MDT</t>
  </si>
  <si>
    <t>BMY</t>
  </si>
  <si>
    <t>CVS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</si>
</sst>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f>IFERROR(__xludf.DUMMYFUNCTION("GOOGLEFINANCE(A2, ""price"")"),342.96)</f>
        <v>342.96</v>
      </c>
      <c r="C2" s="2">
        <f>IFERROR(__xludf.DUMMYFUNCTION("GOOGLEFINANCE(A2, ""Change"")"),1.69)</f>
        <v>1.69</v>
      </c>
      <c r="D2" s="2">
        <f>IFERROR(__xludf.DUMMYFUNCTION("GOOGLEFINANCE(A2, ""pe"")"),39.32)</f>
        <v>39.32</v>
      </c>
      <c r="E2" s="2">
        <f>IFERROR(__xludf.DUMMYFUNCTION("GOOGLEFINANCE(A2, ""eps"")"),8.72)</f>
        <v>8.72</v>
      </c>
    </row>
    <row r="3">
      <c r="A3" s="1" t="s">
        <v>6</v>
      </c>
      <c r="B3" s="2">
        <f>IFERROR(__xludf.DUMMYFUNCTION("GOOGLEFINANCE(A3, ""price"")"),533.69)</f>
        <v>533.69</v>
      </c>
      <c r="C3" s="2">
        <f>IFERROR(__xludf.DUMMYFUNCTION("GOOGLEFINANCE(A3, ""Change"")"),-9.76)</f>
        <v>-9.76</v>
      </c>
      <c r="D3" s="2">
        <f>IFERROR(__xludf.DUMMYFUNCTION("GOOGLEFINANCE(A3, ""pe"")"),29.74)</f>
        <v>29.74</v>
      </c>
      <c r="E3" s="2">
        <f>IFERROR(__xludf.DUMMYFUNCTION("GOOGLEFINANCE(A3, ""eps"")"),17.95)</f>
        <v>17.95</v>
      </c>
    </row>
    <row r="4">
      <c r="A4" s="1" t="s">
        <v>7</v>
      </c>
      <c r="B4" s="2">
        <f>IFERROR(__xludf.DUMMYFUNCTION("GOOGLEFINANCE(A4, ""price"")"),221.3)</f>
        <v>221.3</v>
      </c>
      <c r="C4" s="2">
        <f>IFERROR(__xludf.DUMMYFUNCTION("GOOGLEFINANCE(A4, ""Change"")"),-7.22)</f>
        <v>-7.22</v>
      </c>
      <c r="D4" s="2">
        <f>IFERROR(__xludf.DUMMYFUNCTION("GOOGLEFINANCE(A4, ""pe"")"),27.97)</f>
        <v>27.97</v>
      </c>
      <c r="E4" s="2">
        <f>IFERROR(__xludf.DUMMYFUNCTION("GOOGLEFINANCE(A4, ""eps"")"),7.91)</f>
        <v>7.91</v>
      </c>
    </row>
    <row r="5">
      <c r="A5" s="1" t="s">
        <v>8</v>
      </c>
      <c r="B5" s="2">
        <f>IFERROR(__xludf.DUMMYFUNCTION("GOOGLEFINANCE(A5, ""price"")"),254.08)</f>
        <v>254.08</v>
      </c>
      <c r="C5" s="2">
        <f>IFERROR(__xludf.DUMMYFUNCTION("GOOGLEFINANCE(A5, ""Change"")"),-4.5)</f>
        <v>-4.5</v>
      </c>
      <c r="D5" s="2">
        <f>IFERROR(__xludf.DUMMYFUNCTION("GOOGLEFINANCE(A5, ""pe"")"),20.44)</f>
        <v>20.44</v>
      </c>
      <c r="E5" s="2">
        <f>IFERROR(__xludf.DUMMYFUNCTION("GOOGLEFINANCE(A5, ""eps"")"),12.43)</f>
        <v>12.43</v>
      </c>
    </row>
    <row r="6">
      <c r="A6" s="1" t="s">
        <v>9</v>
      </c>
      <c r="B6" s="2">
        <f>IFERROR(__xludf.DUMMYFUNCTION("GOOGLEFINANCE(A6, ""price"")"),347.64)</f>
        <v>347.64</v>
      </c>
      <c r="C6" s="2">
        <f>IFERROR(__xludf.DUMMYFUNCTION("GOOGLEFINANCE(A6, ""Change"")"),-6.14)</f>
        <v>-6.14</v>
      </c>
      <c r="D6" s="2">
        <f>IFERROR(__xludf.DUMMYFUNCTION("GOOGLEFINANCE(A6, ""pe"")"),17.47)</f>
        <v>17.47</v>
      </c>
      <c r="E6" s="2">
        <f>IFERROR(__xludf.DUMMYFUNCTION("GOOGLEFINANCE(A6, ""eps"")"),19.9)</f>
        <v>19.9</v>
      </c>
    </row>
    <row r="7">
      <c r="A7" s="1" t="s">
        <v>10</v>
      </c>
      <c r="B7" s="2">
        <f>IFERROR(__xludf.DUMMYFUNCTION("GOOGLEFINANCE(A7, ""price"")"),343.65)</f>
        <v>343.65</v>
      </c>
      <c r="C7" s="2">
        <f>IFERROR(__xludf.DUMMYFUNCTION("GOOGLEFINANCE(A7, ""Change"")"),-5.87)</f>
        <v>-5.87</v>
      </c>
      <c r="D7" s="2">
        <f>IFERROR(__xludf.DUMMYFUNCTION("GOOGLEFINANCE(A7, ""pe"")"),17.26)</f>
        <v>17.26</v>
      </c>
      <c r="E7" s="2">
        <f>IFERROR(__xludf.DUMMYFUNCTION("GOOGLEFINANCE(A7, ""eps"")"),19.9)</f>
        <v>19.9</v>
      </c>
    </row>
    <row r="8">
      <c r="A8" s="1" t="s">
        <v>11</v>
      </c>
      <c r="B8" s="2">
        <f>IFERROR(__xludf.DUMMYFUNCTION("GOOGLEFINANCE(A8, ""price"")"),737.54)</f>
        <v>737.54</v>
      </c>
      <c r="C8" s="2">
        <f>IFERROR(__xludf.DUMMYFUNCTION("GOOGLEFINANCE(A8, ""Change"")"),-24.96)</f>
        <v>-24.96</v>
      </c>
      <c r="D8" s="2">
        <f>IFERROR(__xludf.DUMMYFUNCTION("GOOGLEFINANCE(A8, ""pe"")"),27.77)</f>
        <v>27.77</v>
      </c>
      <c r="E8" s="2">
        <f>IFERROR(__xludf.DUMMYFUNCTION("GOOGLEFINANCE(A8, ""eps"")"),26.56)</f>
        <v>26.56</v>
      </c>
    </row>
    <row r="9">
      <c r="A9" s="1" t="s">
        <v>12</v>
      </c>
      <c r="B9" s="2">
        <f>IFERROR(__xludf.DUMMYFUNCTION("GOOGLEFINANCE(A9, ""price"")"),526.35)</f>
        <v>526.35</v>
      </c>
      <c r="C9" s="2">
        <f>IFERROR(__xludf.DUMMYFUNCTION("GOOGLEFINANCE(A9, ""Change"")"),5.76)</f>
        <v>5.76</v>
      </c>
      <c r="D9" s="2">
        <f>IFERROR(__xludf.DUMMYFUNCTION("GOOGLEFINANCE(A9, ""pe"")"),0.01)</f>
        <v>0.01</v>
      </c>
      <c r="E9" s="2">
        <f>IFERROR(__xludf.DUMMYFUNCTION("GOOGLEFINANCE(A9, ""eps"")"),59657.3)</f>
        <v>59657.3</v>
      </c>
    </row>
    <row r="10">
      <c r="A10" s="1" t="s">
        <v>13</v>
      </c>
      <c r="B10" s="2">
        <f>IFERROR(__xludf.DUMMYFUNCTION("GOOGLEFINANCE(A10, ""price"")"),1208.74)</f>
        <v>1208.74</v>
      </c>
      <c r="C10" s="2">
        <f>IFERROR(__xludf.DUMMYFUNCTION("GOOGLEFINANCE(A10, ""Change"")"),42.23)</f>
        <v>42.23</v>
      </c>
      <c r="D10" s="2">
        <f>IFERROR(__xludf.DUMMYFUNCTION("GOOGLEFINANCE(A10, ""pe"")"),40.57)</f>
        <v>40.57</v>
      </c>
      <c r="E10" s="2">
        <f>IFERROR(__xludf.DUMMYFUNCTION("GOOGLEFINANCE(A10, ""eps"")"),29.8)</f>
        <v>29.8</v>
      </c>
    </row>
    <row r="11">
      <c r="A11" s="1" t="s">
        <v>14</v>
      </c>
      <c r="B11" s="2">
        <f>IFERROR(__xludf.DUMMYFUNCTION("GOOGLEFINANCE(A11, ""price"")"),346.25)</f>
        <v>346.25</v>
      </c>
      <c r="C11" s="2">
        <f>IFERROR(__xludf.DUMMYFUNCTION("GOOGLEFINANCE(A11, ""Change"")"),-11.06)</f>
        <v>-11.06</v>
      </c>
      <c r="D11" s="2">
        <f>IFERROR(__xludf.DUMMYFUNCTION("GOOGLEFINANCE(A11, ""pe"")"),44.2)</f>
        <v>44.2</v>
      </c>
      <c r="E11" s="2">
        <f>IFERROR(__xludf.DUMMYFUNCTION("GOOGLEFINANCE(A11, ""eps"")"),7.83)</f>
        <v>7.83</v>
      </c>
    </row>
    <row r="12">
      <c r="A12" s="1" t="s">
        <v>15</v>
      </c>
      <c r="B12" s="2">
        <f>IFERROR(__xludf.DUMMYFUNCTION("GOOGLEFINANCE(A12, ""price"")"),335.28)</f>
        <v>335.28</v>
      </c>
      <c r="C12" s="2">
        <f>IFERROR(__xludf.DUMMYFUNCTION("GOOGLEFINANCE(A12, ""Change"")"),3.85)</f>
        <v>3.85</v>
      </c>
      <c r="D12" s="2">
        <f>IFERROR(__xludf.DUMMYFUNCTION("GOOGLEFINANCE(A12, ""pe"")"),14.07)</f>
        <v>14.07</v>
      </c>
      <c r="E12" s="2">
        <f>IFERROR(__xludf.DUMMYFUNCTION("GOOGLEFINANCE(A12, ""eps"")"),23.84)</f>
        <v>23.84</v>
      </c>
    </row>
    <row r="13">
      <c r="A13" s="1" t="s">
        <v>16</v>
      </c>
      <c r="B13" s="2">
        <f>IFERROR(__xludf.DUMMYFUNCTION("GOOGLEFINANCE(A13, ""price"")"),367.16)</f>
        <v>367.16</v>
      </c>
      <c r="C13" s="2">
        <f>IFERROR(__xludf.DUMMYFUNCTION("GOOGLEFINANCE(A13, ""Change"")"),-8.07)</f>
        <v>-8.07</v>
      </c>
      <c r="D13" s="2">
        <f>IFERROR(__xludf.DUMMYFUNCTION("GOOGLEFINANCE(A13, ""pe"")"),341.05)</f>
        <v>341.05</v>
      </c>
      <c r="E13" s="2">
        <f>IFERROR(__xludf.DUMMYFUNCTION("GOOGLEFINANCE(A13, ""eps"")"),1.08)</f>
        <v>1.08</v>
      </c>
    </row>
    <row r="14">
      <c r="A14" s="1" t="s">
        <v>17</v>
      </c>
      <c r="B14" s="2">
        <f>IFERROR(__xludf.DUMMYFUNCTION("GOOGLEFINANCE(A14, ""price"")"),253.91)</f>
        <v>253.91</v>
      </c>
      <c r="C14" s="2">
        <f>IFERROR(__xludf.DUMMYFUNCTION("GOOGLEFINANCE(A14, ""Change"")"),5.3)</f>
        <v>5.3</v>
      </c>
      <c r="D14" s="2">
        <f>IFERROR(__xludf.DUMMYFUNCTION("GOOGLEFINANCE(A14, ""pe"")"),38.54)</f>
        <v>38.54</v>
      </c>
      <c r="E14" s="2">
        <f>IFERROR(__xludf.DUMMYFUNCTION("GOOGLEFINANCE(A14, ""eps"")"),6.59)</f>
        <v>6.59</v>
      </c>
    </row>
    <row r="15">
      <c r="A15" s="1" t="s">
        <v>18</v>
      </c>
      <c r="B15" s="2">
        <f>IFERROR(__xludf.DUMMYFUNCTION("GOOGLEFINANCE(A15, ""price"")"),391.43)</f>
        <v>391.43</v>
      </c>
      <c r="C15" s="2">
        <f>IFERROR(__xludf.DUMMYFUNCTION("GOOGLEFINANCE(A15, ""Change"")"),-4.63)</f>
        <v>-4.63</v>
      </c>
      <c r="D15" s="2">
        <f>IFERROR(__xludf.DUMMYFUNCTION("GOOGLEFINANCE(A15, ""pe"")"),33.31)</f>
        <v>33.31</v>
      </c>
      <c r="E15" s="2">
        <f>IFERROR(__xludf.DUMMYFUNCTION("GOOGLEFINANCE(A15, ""eps"")"),11.75)</f>
        <v>11.75</v>
      </c>
    </row>
    <row r="16">
      <c r="A16" s="1" t="s">
        <v>19</v>
      </c>
      <c r="B16" s="2">
        <f>IFERROR(__xludf.DUMMYFUNCTION("GOOGLEFINANCE(A16, ""price"")"),177.01)</f>
        <v>177.01</v>
      </c>
      <c r="C16" s="2">
        <f>IFERROR(__xludf.DUMMYFUNCTION("GOOGLEFINANCE(A16, ""Change"")"),2.87)</f>
        <v>2.87</v>
      </c>
      <c r="D16" s="2">
        <f>IFERROR(__xludf.DUMMYFUNCTION("GOOGLEFINANCE(A16, ""pe"")"),22.78)</f>
        <v>22.78</v>
      </c>
      <c r="E16" s="2">
        <f>IFERROR(__xludf.DUMMYFUNCTION("GOOGLEFINANCE(A16, ""eps"")"),7.77)</f>
        <v>7.77</v>
      </c>
    </row>
    <row r="17">
      <c r="A17" s="1" t="s">
        <v>20</v>
      </c>
      <c r="B17" s="2">
        <f>IFERROR(__xludf.DUMMYFUNCTION("GOOGLEFINANCE(A17, ""price"")"),395.62)</f>
        <v>395.62</v>
      </c>
      <c r="C17" s="2">
        <f>IFERROR(__xludf.DUMMYFUNCTION("GOOGLEFINANCE(A17, ""Change"")"),17.86)</f>
        <v>17.86</v>
      </c>
      <c r="D17" s="2">
        <f>IFERROR(__xludf.DUMMYFUNCTION("GOOGLEFINANCE(A17, ""pe"")"),22.58)</f>
        <v>22.58</v>
      </c>
      <c r="E17" s="2">
        <f>IFERROR(__xludf.DUMMYFUNCTION("GOOGLEFINANCE(A17, ""eps"")"),17.52)</f>
        <v>17.52</v>
      </c>
    </row>
    <row r="18">
      <c r="A18" s="1" t="s">
        <v>21</v>
      </c>
      <c r="B18" s="2">
        <f>IFERROR(__xludf.DUMMYFUNCTION("GOOGLEFINANCE(A18, ""price"")"),156.53)</f>
        <v>156.53</v>
      </c>
      <c r="C18" s="2">
        <f>IFERROR(__xludf.DUMMYFUNCTION("GOOGLEFINANCE(A18, ""Change"")"),3.49)</f>
        <v>3.49</v>
      </c>
      <c r="D18" s="2">
        <f>IFERROR(__xludf.DUMMYFUNCTION("GOOGLEFINANCE(A18, ""pe"")"),23.63)</f>
        <v>23.63</v>
      </c>
      <c r="E18" s="2">
        <f>IFERROR(__xludf.DUMMYFUNCTION("GOOGLEFINANCE(A18, ""eps"")"),6.62)</f>
        <v>6.62</v>
      </c>
    </row>
    <row r="19">
      <c r="A19" s="1" t="s">
        <v>22</v>
      </c>
      <c r="B19" s="2">
        <f>IFERROR(__xludf.DUMMYFUNCTION("GOOGLEFINANCE(A19, ""price"")"),603.24)</f>
        <v>603.24</v>
      </c>
      <c r="C19" s="2">
        <f>IFERROR(__xludf.DUMMYFUNCTION("GOOGLEFINANCE(A19, ""Change"")"),-1.56)</f>
        <v>-1.56</v>
      </c>
      <c r="D19" s="2">
        <f>IFERROR(__xludf.DUMMYFUNCTION("GOOGLEFINANCE(A19, ""pe"")"),33.18)</f>
        <v>33.18</v>
      </c>
      <c r="E19" s="2">
        <f>IFERROR(__xludf.DUMMYFUNCTION("GOOGLEFINANCE(A19, ""eps"")"),18.18)</f>
        <v>18.18</v>
      </c>
    </row>
    <row r="20">
      <c r="A20" s="1" t="s">
        <v>23</v>
      </c>
      <c r="B20" s="2">
        <f>IFERROR(__xludf.DUMMYFUNCTION("GOOGLEFINANCE(A20, ""price"")"),982.0)</f>
        <v>982</v>
      </c>
      <c r="C20" s="2">
        <f>IFERROR(__xludf.DUMMYFUNCTION("GOOGLEFINANCE(A20, ""Change"")"),27.37)</f>
        <v>27.37</v>
      </c>
      <c r="D20" s="2">
        <f>IFERROR(__xludf.DUMMYFUNCTION("GOOGLEFINANCE(A20, ""pe"")"),47.3)</f>
        <v>47.3</v>
      </c>
      <c r="E20" s="2">
        <f>IFERROR(__xludf.DUMMYFUNCTION("GOOGLEFINANCE(A20, ""eps"")"),20.76)</f>
        <v>20.76</v>
      </c>
    </row>
    <row r="21">
      <c r="A21" s="1" t="s">
        <v>24</v>
      </c>
      <c r="B21" s="2">
        <f>IFERROR(__xludf.DUMMYFUNCTION("GOOGLEFINANCE(A21, ""price"")"),295.51)</f>
        <v>295.51</v>
      </c>
      <c r="C21" s="2">
        <f>IFERROR(__xludf.DUMMYFUNCTION("GOOGLEFINANCE(A21, ""Change"")"),1.59)</f>
        <v>1.59</v>
      </c>
      <c r="D21" s="2">
        <f>IFERROR(__xludf.DUMMYFUNCTION("GOOGLEFINANCE(A21, ""pe"")"),20.69)</f>
        <v>20.69</v>
      </c>
      <c r="E21" s="2">
        <f>IFERROR(__xludf.DUMMYFUNCTION("GOOGLEFINANCE(A21, ""eps"")"),14.28)</f>
        <v>14.28</v>
      </c>
    </row>
    <row r="22">
      <c r="A22" s="1" t="s">
        <v>25</v>
      </c>
      <c r="B22" s="2">
        <f>IFERROR(__xludf.DUMMYFUNCTION("GOOGLEFINANCE(A22, ""price"")"),147.37)</f>
        <v>147.37</v>
      </c>
      <c r="C22" s="2">
        <f>IFERROR(__xludf.DUMMYFUNCTION("GOOGLEFINANCE(A22, ""Change"")"),5.39)</f>
        <v>5.39</v>
      </c>
      <c r="D22" s="2">
        <f>IFERROR(__xludf.DUMMYFUNCTION("GOOGLEFINANCE(A22, ""pe"")"),117.71)</f>
        <v>117.71</v>
      </c>
      <c r="E22" s="2">
        <f>IFERROR(__xludf.DUMMYFUNCTION("GOOGLEFINANCE(A22, ""eps"")"),1.25)</f>
        <v>1.25</v>
      </c>
    </row>
    <row r="23">
      <c r="A23" s="1" t="s">
        <v>26</v>
      </c>
      <c r="B23" s="2">
        <f>IFERROR(__xludf.DUMMYFUNCTION("GOOGLEFINANCE(A23, ""price"")"),130.55)</f>
        <v>130.55</v>
      </c>
      <c r="C23" s="2">
        <f>IFERROR(__xludf.DUMMYFUNCTION("GOOGLEFINANCE(A23, ""Change"")"),-12.65)</f>
        <v>-12.65</v>
      </c>
      <c r="D23" s="2">
        <f>IFERROR(__xludf.DUMMYFUNCTION("GOOGLEFINANCE(A23, ""pe"")"),20.47)</f>
        <v>20.47</v>
      </c>
      <c r="E23" s="2">
        <f>IFERROR(__xludf.DUMMYFUNCTION("GOOGLEFINANCE(A23, ""eps"")"),6.38)</f>
        <v>6.38</v>
      </c>
    </row>
    <row r="24">
      <c r="A24" s="1" t="s">
        <v>27</v>
      </c>
      <c r="B24" s="2">
        <f>IFERROR(__xludf.DUMMYFUNCTION("GOOGLEFINANCE(A24, ""price"")"),283.48)</f>
        <v>283.48</v>
      </c>
      <c r="C24" s="2">
        <f>IFERROR(__xludf.DUMMYFUNCTION("GOOGLEFINANCE(A24, ""Change"")"),9.12)</f>
        <v>9.12</v>
      </c>
      <c r="D24" s="2">
        <f>IFERROR(__xludf.DUMMYFUNCTION("GOOGLEFINANCE(A24, ""pe"")"),80.18)</f>
        <v>80.18</v>
      </c>
      <c r="E24" s="2">
        <f>IFERROR(__xludf.DUMMYFUNCTION("GOOGLEFINANCE(A24, ""eps"")"),3.54)</f>
        <v>3.54</v>
      </c>
    </row>
    <row r="25">
      <c r="A25" s="1" t="s">
        <v>28</v>
      </c>
      <c r="B25" s="2">
        <f>IFERROR(__xludf.DUMMYFUNCTION("GOOGLEFINANCE(A25, ""price"")"),116.16)</f>
        <v>116.16</v>
      </c>
      <c r="C25" s="2">
        <f>IFERROR(__xludf.DUMMYFUNCTION("GOOGLEFINANCE(A25, ""Change"")"),3.88)</f>
        <v>3.88</v>
      </c>
      <c r="D25" s="2">
        <f>IFERROR(__xludf.DUMMYFUNCTION("GOOGLEFINANCE(A25, ""pe"")"),42.09)</f>
        <v>42.09</v>
      </c>
      <c r="E25" s="2">
        <f>IFERROR(__xludf.DUMMYFUNCTION("GOOGLEFINANCE(A25, ""eps"")"),2.76)</f>
        <v>2.76</v>
      </c>
    </row>
    <row r="26">
      <c r="A26" s="1" t="s">
        <v>29</v>
      </c>
      <c r="B26" s="2">
        <f>IFERROR(__xludf.DUMMYFUNCTION("GOOGLEFINANCE(A26, ""price"")"),51.39)</f>
        <v>51.39</v>
      </c>
      <c r="C26" s="2">
        <f>IFERROR(__xludf.DUMMYFUNCTION("GOOGLEFINANCE(A26, ""Change"")"),-2.55)</f>
        <v>-2.55</v>
      </c>
      <c r="D26" s="2">
        <f>IFERROR(__xludf.DUMMYFUNCTION("GOOGLEFINANCE(A26, ""pe"")"),11.93)</f>
        <v>11.93</v>
      </c>
      <c r="E26" s="2">
        <f>IFERROR(__xludf.DUMMYFUNCTION("GOOGLEFINANCE(A26, ""eps"")"),4.31)</f>
        <v>4.31</v>
      </c>
    </row>
    <row r="27">
      <c r="A27" s="1" t="s">
        <v>30</v>
      </c>
      <c r="B27" s="2">
        <f>IFERROR(__xludf.DUMMYFUNCTION("GOOGLEFINANCE(A27, ""price"")"),129.27)</f>
        <v>129.27</v>
      </c>
      <c r="C27" s="2">
        <f>IFERROR(__xludf.DUMMYFUNCTION("GOOGLEFINANCE(A27, ""Change"")"),1.97)</f>
        <v>1.97</v>
      </c>
      <c r="D27" s="2">
        <f>IFERROR(__xludf.DUMMYFUNCTION("GOOGLEFINANCE(A27, ""pe"")"),16.25)</f>
        <v>16.25</v>
      </c>
      <c r="E27" s="2">
        <f>IFERROR(__xludf.DUMMYFUNCTION("GOOGLEFINANCE(A27, ""eps"")"),7.95)</f>
        <v>7.95</v>
      </c>
    </row>
    <row r="28">
      <c r="A28" s="1" t="s">
        <v>31</v>
      </c>
      <c r="B28" s="2">
        <f>IFERROR(__xludf.DUMMYFUNCTION("GOOGLEFINANCE(A28, ""price"")"),91.78)</f>
        <v>91.78</v>
      </c>
      <c r="C28" s="2">
        <f>IFERROR(__xludf.DUMMYFUNCTION("GOOGLEFINANCE(A28, ""Change"")"),1.67)</f>
        <v>1.67</v>
      </c>
      <c r="D28" s="2">
        <f>IFERROR(__xludf.DUMMYFUNCTION("GOOGLEFINANCE(A28, ""pe"")"),27.65)</f>
        <v>27.65</v>
      </c>
      <c r="E28" s="2">
        <f>IFERROR(__xludf.DUMMYFUNCTION("GOOGLEFINANCE(A28, ""eps"")"),3.32)</f>
        <v>3.32</v>
      </c>
    </row>
    <row r="29">
      <c r="A29" s="1" t="s">
        <v>32</v>
      </c>
      <c r="B29" s="2">
        <f>IFERROR(__xludf.DUMMYFUNCTION("GOOGLEFINANCE(A29, ""price"")"),235.95)</f>
        <v>235.95</v>
      </c>
      <c r="C29" s="2">
        <f>IFERROR(__xludf.DUMMYFUNCTION("GOOGLEFINANCE(A29, ""Change"")"),-2.06)</f>
        <v>-2.06</v>
      </c>
      <c r="D29" s="2">
        <f>IFERROR(__xludf.DUMMYFUNCTION("GOOGLEFINANCE(A29, ""pe"")"),21.5)</f>
        <v>21.5</v>
      </c>
      <c r="E29" s="2">
        <f>IFERROR(__xludf.DUMMYFUNCTION("GOOGLEFINANCE(A29, ""eps"")"),10.98)</f>
        <v>10.98</v>
      </c>
    </row>
    <row r="30">
      <c r="A30" s="1" t="s">
        <v>33</v>
      </c>
      <c r="B30" s="2">
        <f>IFERROR(__xludf.DUMMYFUNCTION("GOOGLEFINANCE(A30, ""price"")"),222.04)</f>
        <v>222.04</v>
      </c>
      <c r="C30" s="2">
        <f>IFERROR(__xludf.DUMMYFUNCTION("GOOGLEFINANCE(A30, ""Change"")"),4.31)</f>
        <v>4.31</v>
      </c>
      <c r="D30" s="2">
        <f>IFERROR(__xludf.DUMMYFUNCTION("GOOGLEFINANCE(A30, ""pe"")"),21.29)</f>
        <v>21.29</v>
      </c>
      <c r="E30" s="2">
        <f>IFERROR(__xludf.DUMMYFUNCTION("GOOGLEFINANCE(A30, ""eps"")"),10.43)</f>
        <v>10.43</v>
      </c>
    </row>
    <row r="31">
      <c r="A31" s="1" t="s">
        <v>34</v>
      </c>
      <c r="B31" s="2">
        <f>IFERROR(__xludf.DUMMYFUNCTION("GOOGLEFINANCE(A31, ""price"")"),673.2)</f>
        <v>673.2</v>
      </c>
      <c r="C31" s="2">
        <f>IFERROR(__xludf.DUMMYFUNCTION("GOOGLEFINANCE(A31, ""Change"")"),10.16)</f>
        <v>10.16</v>
      </c>
      <c r="D31" s="2">
        <f>IFERROR(__xludf.DUMMYFUNCTION("GOOGLEFINANCE(A31, ""pe"")"),36.24)</f>
        <v>36.24</v>
      </c>
      <c r="E31" s="2">
        <f>IFERROR(__xludf.DUMMYFUNCTION("GOOGLEFINANCE(A31, ""eps"")"),18.58)</f>
        <v>18.58</v>
      </c>
    </row>
    <row r="32">
      <c r="A32" s="1" t="s">
        <v>35</v>
      </c>
      <c r="B32" s="2">
        <f>IFERROR(__xludf.DUMMYFUNCTION("GOOGLEFINANCE(A32, ""price"")"),240.68)</f>
        <v>240.68</v>
      </c>
      <c r="C32" s="2">
        <f>IFERROR(__xludf.DUMMYFUNCTION("GOOGLEFINANCE(A32, ""Change"")"),4.4)</f>
        <v>4.4</v>
      </c>
      <c r="D32" s="2">
        <f>IFERROR(__xludf.DUMMYFUNCTION("GOOGLEFINANCE(A32, ""pe"")"),13.43)</f>
        <v>13.43</v>
      </c>
      <c r="E32" s="2">
        <f>IFERROR(__xludf.DUMMYFUNCTION("GOOGLEFINANCE(A32, ""eps"")"),17.92)</f>
        <v>17.92</v>
      </c>
    </row>
    <row r="33">
      <c r="A33" s="1" t="s">
        <v>36</v>
      </c>
      <c r="B33" s="2">
        <f>IFERROR(__xludf.DUMMYFUNCTION("GOOGLEFINANCE(A33, ""price"")"),214.96)</f>
        <v>214.96</v>
      </c>
      <c r="C33" s="2">
        <f>IFERROR(__xludf.DUMMYFUNCTION("GOOGLEFINANCE(A33, ""Change"")"),1.4)</f>
        <v>1.4</v>
      </c>
      <c r="D33" s="2">
        <f>IFERROR(__xludf.DUMMYFUNCTION("GOOGLEFINANCE(A33, ""pe"")"),15.85)</f>
        <v>15.85</v>
      </c>
      <c r="E33" s="2">
        <f>IFERROR(__xludf.DUMMYFUNCTION("GOOGLEFINANCE(A33, ""eps"")"),13.56)</f>
        <v>13.56</v>
      </c>
    </row>
    <row r="34">
      <c r="A34" s="1" t="s">
        <v>37</v>
      </c>
      <c r="B34" s="2">
        <f>IFERROR(__xludf.DUMMYFUNCTION("GOOGLEFINANCE(A34, ""price"")"),238.31)</f>
        <v>238.31</v>
      </c>
      <c r="C34" s="2">
        <f>IFERROR(__xludf.DUMMYFUNCTION("GOOGLEFINANCE(A34, ""Change"")"),2.5)</f>
        <v>2.5</v>
      </c>
      <c r="D34" s="2">
        <f>IFERROR(__xludf.DUMMYFUNCTION("GOOGLEFINANCE(A34, ""pe"")"),19.35)</f>
        <v>19.35</v>
      </c>
      <c r="E34" s="2">
        <f>IFERROR(__xludf.DUMMYFUNCTION("GOOGLEFINANCE(A34, ""eps"")"),12.31)</f>
        <v>12.31</v>
      </c>
    </row>
    <row r="35">
      <c r="A35" s="1" t="s">
        <v>38</v>
      </c>
      <c r="B35" s="2">
        <f>IFERROR(__xludf.DUMMYFUNCTION("GOOGLEFINANCE(A35, ""price"")"),570.82)</f>
        <v>570.82</v>
      </c>
      <c r="C35" s="2">
        <f>IFERROR(__xludf.DUMMYFUNCTION("GOOGLEFINANCE(A35, ""Change"")"),-34.71)</f>
        <v>-34.71</v>
      </c>
      <c r="D35" s="2">
        <f>IFERROR(__xludf.DUMMYFUNCTION("GOOGLEFINANCE(A35, ""pe"")"),146.47)</f>
        <v>146.47</v>
      </c>
      <c r="E35" s="2">
        <f>IFERROR(__xludf.DUMMYFUNCTION("GOOGLEFINANCE(A35, ""eps"")"),3.9)</f>
        <v>3.9</v>
      </c>
    </row>
    <row r="36">
      <c r="A36" s="1" t="s">
        <v>39</v>
      </c>
      <c r="B36" s="2">
        <f>IFERROR(__xludf.DUMMYFUNCTION("GOOGLEFINANCE(A36, ""price"")"),70.57)</f>
        <v>70.57</v>
      </c>
      <c r="C36" s="2">
        <f>IFERROR(__xludf.DUMMYFUNCTION("GOOGLEFINANCE(A36, ""Change"")"),0.11)</f>
        <v>0.11</v>
      </c>
      <c r="D36" s="2">
        <f>IFERROR(__xludf.DUMMYFUNCTION("GOOGLEFINANCE(A36, ""pe"")"),22.23)</f>
        <v>22.23</v>
      </c>
      <c r="E36" s="2">
        <f>IFERROR(__xludf.DUMMYFUNCTION("GOOGLEFINANCE(A36, ""eps"")"),3.17)</f>
        <v>3.17</v>
      </c>
    </row>
    <row r="37">
      <c r="A37" s="1" t="s">
        <v>40</v>
      </c>
      <c r="B37" s="2">
        <f>IFERROR(__xludf.DUMMYFUNCTION("GOOGLEFINANCE(A37, ""price"")"),492.7)</f>
        <v>492.7</v>
      </c>
      <c r="C37" s="2">
        <f>IFERROR(__xludf.DUMMYFUNCTION("GOOGLEFINANCE(A37, ""Change"")"),0.59)</f>
        <v>0.59</v>
      </c>
      <c r="D37" s="2">
        <f>IFERROR(__xludf.DUMMYFUNCTION("GOOGLEFINANCE(A37, ""pe"")"),31.81)</f>
        <v>31.81</v>
      </c>
      <c r="E37" s="2">
        <f>IFERROR(__xludf.DUMMYFUNCTION("GOOGLEFINANCE(A37, ""eps"")"),15.49)</f>
        <v>15.49</v>
      </c>
    </row>
    <row r="38">
      <c r="A38" s="1" t="s">
        <v>41</v>
      </c>
      <c r="B38" s="2">
        <f>IFERROR(__xludf.DUMMYFUNCTION("GOOGLEFINANCE(A38, ""price"")"),224.69)</f>
        <v>224.69</v>
      </c>
      <c r="C38" s="2">
        <f>IFERROR(__xludf.DUMMYFUNCTION("GOOGLEFINANCE(A38, ""Change"")"),1.52)</f>
        <v>1.52</v>
      </c>
      <c r="D38" s="2">
        <f>IFERROR(__xludf.DUMMYFUNCTION("GOOGLEFINANCE(A38, ""pe"")"),39.89)</f>
        <v>39.89</v>
      </c>
      <c r="E38" s="2">
        <f>IFERROR(__xludf.DUMMYFUNCTION("GOOGLEFINANCE(A38, ""eps"")"),5.63)</f>
        <v>5.63</v>
      </c>
    </row>
    <row r="39">
      <c r="A39" s="1" t="s">
        <v>42</v>
      </c>
      <c r="B39" s="2">
        <f>IFERROR(__xludf.DUMMYFUNCTION("GOOGLEFINANCE(A39, ""price"")"),80.9)</f>
        <v>80.9</v>
      </c>
      <c r="C39" s="2">
        <f>IFERROR(__xludf.DUMMYFUNCTION("GOOGLEFINANCE(A39, ""Change"")"),0.16)</f>
        <v>0.16</v>
      </c>
      <c r="D39" s="2">
        <f>IFERROR(__xludf.DUMMYFUNCTION("GOOGLEFINANCE(A39, ""pe"")"),11.4)</f>
        <v>11.4</v>
      </c>
      <c r="E39" s="2">
        <f>IFERROR(__xludf.DUMMYFUNCTION("GOOGLEFINANCE(A39, ""eps"")"),7.1)</f>
        <v>7.1</v>
      </c>
    </row>
    <row r="40">
      <c r="A40" s="1" t="s">
        <v>43</v>
      </c>
      <c r="B40" s="2">
        <f>IFERROR(__xludf.DUMMYFUNCTION("GOOGLEFINANCE(A40, ""price"")"),227.88)</f>
        <v>227.88</v>
      </c>
      <c r="C40" s="2">
        <f>IFERROR(__xludf.DUMMYFUNCTION("GOOGLEFINANCE(A40, ""Change"")"),-2.9)</f>
        <v>-2.9</v>
      </c>
      <c r="D40" s="2">
        <f>IFERROR(__xludf.DUMMYFUNCTION("GOOGLEFINANCE(A40, ""pe"")"),20.23)</f>
        <v>20.23</v>
      </c>
      <c r="E40" s="2">
        <f>IFERROR(__xludf.DUMMYFUNCTION("GOOGLEFINANCE(A40, ""eps"")"),11.26)</f>
        <v>11.26</v>
      </c>
    </row>
    <row r="41">
      <c r="A41" s="1" t="s">
        <v>44</v>
      </c>
      <c r="B41" s="2">
        <f>IFERROR(__xludf.DUMMYFUNCTION("GOOGLEFINANCE(A41, ""price"")"),280.65)</f>
        <v>280.65</v>
      </c>
      <c r="C41" s="2">
        <f>IFERROR(__xludf.DUMMYFUNCTION("GOOGLEFINANCE(A41, ""Change"")"),-7.2)</f>
        <v>-7.2</v>
      </c>
      <c r="D41" s="2">
        <f>IFERROR(__xludf.DUMMYFUNCTION("GOOGLEFINANCE(A41, ""pe"")"),42.69)</f>
        <v>42.69</v>
      </c>
      <c r="E41" s="2">
        <f>IFERROR(__xludf.DUMMYFUNCTION("GOOGLEFINANCE(A41, ""eps"")"),6.57)</f>
        <v>6.57</v>
      </c>
    </row>
    <row r="42">
      <c r="A42" s="1" t="s">
        <v>45</v>
      </c>
      <c r="B42" s="2">
        <f>IFERROR(__xludf.DUMMYFUNCTION("GOOGLEFINANCE(A42, ""price"")"),205.58)</f>
        <v>205.58</v>
      </c>
      <c r="C42" s="2">
        <f>IFERROR(__xludf.DUMMYFUNCTION("GOOGLEFINANCE(A42, ""Change"")"),6.29)</f>
        <v>6.29</v>
      </c>
      <c r="D42" s="2">
        <f>IFERROR(__xludf.DUMMYFUNCTION("GOOGLEFINANCE(A42, ""pe"")"),29.55)</f>
        <v>29.55</v>
      </c>
      <c r="E42" s="2">
        <f>IFERROR(__xludf.DUMMYFUNCTION("GOOGLEFINANCE(A42, ""eps"")"),6.96)</f>
        <v>6.96</v>
      </c>
    </row>
    <row r="43">
      <c r="A43" s="1" t="s">
        <v>46</v>
      </c>
      <c r="B43" s="2">
        <f>IFERROR(__xludf.DUMMYFUNCTION("GOOGLEFINANCE(A43, ""price"")"),748.98)</f>
        <v>748.98</v>
      </c>
      <c r="C43" s="2">
        <f>IFERROR(__xludf.DUMMYFUNCTION("GOOGLEFINANCE(A43, ""Change"")"),-23.8)</f>
        <v>-23.8</v>
      </c>
      <c r="D43" s="2">
        <f>IFERROR(__xludf.DUMMYFUNCTION("GOOGLEFINANCE(A43, ""pe"")"),32.22)</f>
        <v>32.22</v>
      </c>
      <c r="E43" s="2">
        <f>IFERROR(__xludf.DUMMYFUNCTION("GOOGLEFINANCE(A43, ""eps"")"),23.25)</f>
        <v>23.25</v>
      </c>
    </row>
    <row r="44">
      <c r="A44" s="1" t="s">
        <v>47</v>
      </c>
      <c r="B44" s="2">
        <f>IFERROR(__xludf.DUMMYFUNCTION("GOOGLEFINANCE(A44, ""price"")"),307.02)</f>
        <v>307.02</v>
      </c>
      <c r="C44" s="2">
        <f>IFERROR(__xludf.DUMMYFUNCTION("GOOGLEFINANCE(A44, ""Change"")"),-0.61)</f>
        <v>-0.61</v>
      </c>
      <c r="D44" s="2">
        <f>IFERROR(__xludf.DUMMYFUNCTION("GOOGLEFINANCE(A44, ""pe"")"),36.14)</f>
        <v>36.14</v>
      </c>
      <c r="E44" s="2">
        <f>IFERROR(__xludf.DUMMYFUNCTION("GOOGLEFINANCE(A44, ""eps"")"),8.49)</f>
        <v>8.49</v>
      </c>
    </row>
    <row r="45">
      <c r="A45" s="1" t="s">
        <v>48</v>
      </c>
      <c r="B45" s="2">
        <f>IFERROR(__xludf.DUMMYFUNCTION("GOOGLEFINANCE(A45, ""price"")"),426.11)</f>
        <v>426.11</v>
      </c>
      <c r="C45" s="2">
        <f>IFERROR(__xludf.DUMMYFUNCTION("GOOGLEFINANCE(A45, ""Change"")"),13.27)</f>
        <v>13.27</v>
      </c>
      <c r="D45" s="2">
        <f>IFERROR(__xludf.DUMMYFUNCTION("GOOGLEFINANCE(A45, ""pe"")"),26.46)</f>
        <v>26.46</v>
      </c>
      <c r="E45" s="2">
        <f>IFERROR(__xludf.DUMMYFUNCTION("GOOGLEFINANCE(A45, ""eps"")"),16.1)</f>
        <v>16.1</v>
      </c>
    </row>
    <row r="46">
      <c r="A46" s="1" t="s">
        <v>49</v>
      </c>
      <c r="B46" s="2">
        <f>IFERROR(__xludf.DUMMYFUNCTION("GOOGLEFINANCE(A46, ""price"")"),207.61)</f>
        <v>207.61</v>
      </c>
      <c r="C46" s="2">
        <f>IFERROR(__xludf.DUMMYFUNCTION("GOOGLEFINANCE(A46, ""Change"")"),0.32)</f>
        <v>0.32</v>
      </c>
      <c r="D46" s="2">
        <f>IFERROR(__xludf.DUMMYFUNCTION("GOOGLEFINANCE(A46, ""pe"")"),8.06)</f>
        <v>8.06</v>
      </c>
      <c r="E46" s="2">
        <f>IFERROR(__xludf.DUMMYFUNCTION("GOOGLEFINANCE(A46, ""eps"")"),25.76)</f>
        <v>25.76</v>
      </c>
    </row>
    <row r="47">
      <c r="A47" s="1" t="s">
        <v>50</v>
      </c>
      <c r="B47" s="2">
        <f>IFERROR(__xludf.DUMMYFUNCTION("GOOGLEFINANCE(A47, ""price"")"),181.51)</f>
        <v>181.51</v>
      </c>
      <c r="C47" s="2">
        <f>IFERROR(__xludf.DUMMYFUNCTION("GOOGLEFINANCE(A47, ""Change"")"),-5.13)</f>
        <v>-5.13</v>
      </c>
      <c r="D47" s="2">
        <f>IFERROR(__xludf.DUMMYFUNCTION("GOOGLEFINANCE(A47, ""pe"")"),14.67)</f>
        <v>14.67</v>
      </c>
      <c r="E47" s="2">
        <f>IFERROR(__xludf.DUMMYFUNCTION("GOOGLEFINANCE(A47, ""eps"")"),12.38)</f>
        <v>12.38</v>
      </c>
    </row>
    <row r="48">
      <c r="A48" s="1" t="s">
        <v>51</v>
      </c>
      <c r="B48" s="2">
        <f>IFERROR(__xludf.DUMMYFUNCTION("GOOGLEFINANCE(A48, ""price"")"),286.43)</f>
        <v>286.43</v>
      </c>
      <c r="C48" s="2">
        <f>IFERROR(__xludf.DUMMYFUNCTION("GOOGLEFINANCE(A48, ""Change"")"),4.07)</f>
        <v>4.07</v>
      </c>
      <c r="D48" s="2">
        <f>IFERROR(__xludf.DUMMYFUNCTION("GOOGLEFINANCE(A48, ""pe"")"),23.2)</f>
        <v>23.2</v>
      </c>
      <c r="E48" s="2">
        <f>IFERROR(__xludf.DUMMYFUNCTION("GOOGLEFINANCE(A48, ""eps"")"),12.35)</f>
        <v>12.35</v>
      </c>
    </row>
    <row r="49">
      <c r="A49" s="1" t="s">
        <v>52</v>
      </c>
      <c r="B49" s="2">
        <f>IFERROR(__xludf.DUMMYFUNCTION("GOOGLEFINANCE(A49, ""price"")"),44.42)</f>
        <v>44.42</v>
      </c>
      <c r="C49" s="2">
        <f>IFERROR(__xludf.DUMMYFUNCTION("GOOGLEFINANCE(A49, ""Change"")"),0.89)</f>
        <v>0.89</v>
      </c>
      <c r="D49" s="2">
        <f>IFERROR(__xludf.DUMMYFUNCTION("GOOGLEFINANCE(A49, ""pe"")"),11.57)</f>
        <v>11.57</v>
      </c>
      <c r="E49" s="2">
        <f>IFERROR(__xludf.DUMMYFUNCTION("GOOGLEFINANCE(A49, ""eps"")"),3.84)</f>
        <v>3.84</v>
      </c>
    </row>
    <row r="50">
      <c r="A50" s="1" t="s">
        <v>53</v>
      </c>
      <c r="B50" s="2">
        <f>IFERROR(__xludf.DUMMYFUNCTION("GOOGLEFINANCE(A50, ""price"")"),35.3)</f>
        <v>35.3</v>
      </c>
      <c r="C50" s="2">
        <f>IFERROR(__xludf.DUMMYFUNCTION("GOOGLEFINANCE(A50, ""Change"")"),-0.03)</f>
        <v>-0.03</v>
      </c>
      <c r="D50" s="2">
        <f>IFERROR(__xludf.DUMMYFUNCTION("GOOGLEFINANCE(A50, ""pe"")"),16.92)</f>
        <v>16.92</v>
      </c>
      <c r="E50" s="2">
        <f>IFERROR(__xludf.DUMMYFUNCTION("GOOGLEFINANCE(A50, ""eps"")"),2.09)</f>
        <v>2.09</v>
      </c>
    </row>
    <row r="51">
      <c r="A51" s="1" t="s">
        <v>54</v>
      </c>
      <c r="B51" s="2">
        <f>IFERROR(__xludf.DUMMYFUNCTION("GOOGLEFINANCE(A51, ""price"")"),95.78)</f>
        <v>95.78</v>
      </c>
      <c r="C51" s="2">
        <f>IFERROR(__xludf.DUMMYFUNCTION("GOOGLEFINANCE(A51, ""Change"")"),0.99)</f>
        <v>0.99</v>
      </c>
      <c r="D51" s="2">
        <f>IFERROR(__xludf.DUMMYFUNCTION("GOOGLEFINANCE(A51, ""pe"")"),17.83)</f>
        <v>17.83</v>
      </c>
      <c r="E51" s="2">
        <f>IFERROR(__xludf.DUMMYFUNCTION("GOOGLEFINANCE(A51, ""eps"")"),5.37)</f>
        <v>5.37</v>
      </c>
    </row>
    <row r="52">
      <c r="A52" s="1" t="s">
        <v>55</v>
      </c>
      <c r="B52" s="2">
        <f>IFERROR(__xludf.DUMMYFUNCTION("GOOGLEFINANCE(A52, ""price"")"),93.25)</f>
        <v>93.25</v>
      </c>
      <c r="C52" s="2">
        <f>IFERROR(__xludf.DUMMYFUNCTION("GOOGLEFINANCE(A52, ""Change"")"),1.25)</f>
        <v>1.25</v>
      </c>
      <c r="D52" s="2">
        <f>IFERROR(__xludf.DUMMYFUNCTION("GOOGLEFINANCE(A52, ""pe"")"),53.77)</f>
        <v>53.77</v>
      </c>
      <c r="E52" s="2">
        <f>IFERROR(__xludf.DUMMYFUNCTION("GOOGLEFINANCE(A52, ""eps"")"),1.73)</f>
        <v>1.73</v>
      </c>
    </row>
    <row r="53">
      <c r="A53" s="1" t="s">
        <v>56</v>
      </c>
      <c r="B53" s="2">
        <f>IFERROR(__xludf.DUMMYFUNCTION("GOOGLEFINANCE(A53, ""price"")"),160.68)</f>
        <v>160.68</v>
      </c>
      <c r="C53" s="2">
        <f>IFERROR(__xludf.DUMMYFUNCTION("GOOGLEFINANCE(A53, ""Change"")"),3.17)</f>
        <v>3.17</v>
      </c>
      <c r="D53" s="2">
        <f>IFERROR(__xludf.DUMMYFUNCTION("GOOGLEFINANCE(A53, ""pe"")"),17.77)</f>
        <v>17.77</v>
      </c>
      <c r="E53" s="2">
        <f>IFERROR(__xludf.DUMMYFUNCTION("GOOGLEFINANCE(A53, ""eps"")"),9.04)</f>
        <v>9.04</v>
      </c>
    </row>
    <row r="54">
      <c r="A54" s="1" t="s">
        <v>57</v>
      </c>
      <c r="B54" s="2">
        <f>IFERROR(__xludf.DUMMYFUNCTION("GOOGLEFINANCE(A54, ""price"")"),408.57)</f>
        <v>408.57</v>
      </c>
      <c r="C54" s="2">
        <f>IFERROR(__xludf.DUMMYFUNCTION("GOOGLEFINANCE(A54, ""Change"")"),-1.42)</f>
        <v>-1.42</v>
      </c>
      <c r="D54" s="2">
        <f>IFERROR(__xludf.DUMMYFUNCTION("GOOGLEFINANCE(A54, ""pe"")"),24.88)</f>
        <v>24.88</v>
      </c>
      <c r="E54" s="2">
        <f>IFERROR(__xludf.DUMMYFUNCTION("GOOGLEFINANCE(A54, ""eps"")"),16.42)</f>
        <v>16.42</v>
      </c>
    </row>
    <row r="55">
      <c r="A55" s="1" t="s">
        <v>58</v>
      </c>
      <c r="B55" s="2">
        <f>IFERROR(__xludf.DUMMYFUNCTION("GOOGLEFINANCE(A55, ""price"")"),878.72)</f>
        <v>878.72</v>
      </c>
      <c r="C55" s="2">
        <f>IFERROR(__xludf.DUMMYFUNCTION("GOOGLEFINANCE(A55, ""Change"")"),-13.19)</f>
        <v>-13.19</v>
      </c>
      <c r="D55" s="2">
        <f>IFERROR(__xludf.DUMMYFUNCTION("GOOGLEFINANCE(A55, ""pe"")"),12.63)</f>
        <v>12.63</v>
      </c>
      <c r="E55" s="2">
        <f>IFERROR(__xludf.DUMMYFUNCTION("GOOGLEFINANCE(A55, ""eps"")"),69.56)</f>
        <v>69.56</v>
      </c>
    </row>
    <row r="56">
      <c r="A56" s="1" t="s">
        <v>59</v>
      </c>
      <c r="B56" s="2">
        <f>IFERROR(__xludf.DUMMYFUNCTION("GOOGLEFINANCE(A56, ""price"")"),1073.79)</f>
        <v>1073.79</v>
      </c>
      <c r="C56" s="2">
        <f>IFERROR(__xludf.DUMMYFUNCTION("GOOGLEFINANCE(A56, ""Change"")"),7.67)</f>
        <v>7.67</v>
      </c>
      <c r="D56" s="2">
        <f>IFERROR(__xludf.DUMMYFUNCTION("GOOGLEFINANCE(A56, ""pe"")"),26.94)</f>
        <v>26.94</v>
      </c>
      <c r="E56" s="2">
        <f>IFERROR(__xludf.DUMMYFUNCTION("GOOGLEFINANCE(A56, ""eps"")"),39.86)</f>
        <v>39.86</v>
      </c>
    </row>
    <row r="57">
      <c r="A57" s="1" t="s">
        <v>60</v>
      </c>
      <c r="B57" s="2">
        <f>IFERROR(__xludf.DUMMYFUNCTION("GOOGLEFINANCE(A57, ""price"")"),420.24)</f>
        <v>420.24</v>
      </c>
      <c r="C57" s="2">
        <f>IFERROR(__xludf.DUMMYFUNCTION("GOOGLEFINANCE(A57, ""Change"")"),-1.82)</f>
        <v>-1.82</v>
      </c>
      <c r="D57" s="2">
        <f>IFERROR(__xludf.DUMMYFUNCTION("GOOGLEFINANCE(A57, ""pe"")"),48.16)</f>
        <v>48.16</v>
      </c>
      <c r="E57" s="2">
        <f>IFERROR(__xludf.DUMMYFUNCTION("GOOGLEFINANCE(A57, ""eps"")"),8.73)</f>
        <v>8.73</v>
      </c>
    </row>
    <row r="58">
      <c r="A58" s="1" t="s">
        <v>61</v>
      </c>
      <c r="B58" s="2">
        <f>IFERROR(__xludf.DUMMYFUNCTION("GOOGLEFINANCE(A58, ""price"")"),446.63)</f>
        <v>446.63</v>
      </c>
      <c r="C58" s="2">
        <f>IFERROR(__xludf.DUMMYFUNCTION("GOOGLEFINANCE(A58, ""Change"")"),-17.61)</f>
        <v>-17.61</v>
      </c>
      <c r="D58" s="2">
        <f>IFERROR(__xludf.DUMMYFUNCTION("GOOGLEFINANCE(A58, ""pe"")"),38.52)</f>
        <v>38.52</v>
      </c>
      <c r="E58" s="2">
        <f>IFERROR(__xludf.DUMMYFUNCTION("GOOGLEFINANCE(A58, ""eps"")"),11.59)</f>
        <v>11.59</v>
      </c>
    </row>
    <row r="59">
      <c r="A59" s="1" t="s">
        <v>62</v>
      </c>
      <c r="B59" s="2">
        <f>IFERROR(__xludf.DUMMYFUNCTION("GOOGLEFINANCE(A59, ""price"")"),522.23)</f>
        <v>522.23</v>
      </c>
      <c r="C59" s="2">
        <f>IFERROR(__xludf.DUMMYFUNCTION("GOOGLEFINANCE(A59, ""Change"")"),18.21)</f>
        <v>18.21</v>
      </c>
      <c r="D59" s="2">
        <f>IFERROR(__xludf.DUMMYFUNCTION("GOOGLEFINANCE(A59, ""pe"")"),19.24)</f>
        <v>19.24</v>
      </c>
      <c r="E59" s="2">
        <f>IFERROR(__xludf.DUMMYFUNCTION("GOOGLEFINANCE(A59, ""eps"")"),27.14)</f>
        <v>27.14</v>
      </c>
    </row>
    <row r="60">
      <c r="A60" s="1" t="s">
        <v>63</v>
      </c>
      <c r="B60" s="2">
        <f>IFERROR(__xludf.DUMMYFUNCTION("GOOGLEFINANCE(A60, ""price"")"),403.57)</f>
        <v>403.57</v>
      </c>
      <c r="C60" s="2">
        <f>IFERROR(__xludf.DUMMYFUNCTION("GOOGLEFINANCE(A60, ""Change"")"),-11.13)</f>
        <v>-11.13</v>
      </c>
      <c r="D60" s="2">
        <f>IFERROR(__xludf.DUMMYFUNCTION("GOOGLEFINANCE(A60, ""pe"")"),47.89)</f>
        <v>47.89</v>
      </c>
      <c r="E60" s="2">
        <f>IFERROR(__xludf.DUMMYFUNCTION("GOOGLEFINANCE(A60, ""eps"")"),8.43)</f>
        <v>8.43</v>
      </c>
    </row>
    <row r="61">
      <c r="A61" s="1" t="s">
        <v>64</v>
      </c>
      <c r="B61" s="2">
        <f>IFERROR(__xludf.DUMMYFUNCTION("GOOGLEFINANCE(A61, ""price"")"),650.38)</f>
        <v>650.38</v>
      </c>
      <c r="C61" s="2">
        <f>IFERROR(__xludf.DUMMYFUNCTION("GOOGLEFINANCE(A61, ""Change"")"),0.38)</f>
        <v>0.38</v>
      </c>
      <c r="D61" s="2">
        <f>IFERROR(__xludf.DUMMYFUNCTION("GOOGLEFINANCE(A61, ""pe"")"),36.15)</f>
        <v>36.15</v>
      </c>
      <c r="E61" s="2">
        <f>IFERROR(__xludf.DUMMYFUNCTION("GOOGLEFINANCE(A61, ""eps"")"),17.99)</f>
        <v>17.99</v>
      </c>
    </row>
    <row r="62">
      <c r="A62" s="1" t="s">
        <v>65</v>
      </c>
      <c r="B62" s="2">
        <f>IFERROR(__xludf.DUMMYFUNCTION("GOOGLEFINANCE(A62, ""price"")"),62.57)</f>
        <v>62.57</v>
      </c>
      <c r="C62" s="2">
        <f>IFERROR(__xludf.DUMMYFUNCTION("GOOGLEFINANCE(A62, ""Change"")"),1.07)</f>
        <v>1.07</v>
      </c>
      <c r="D62" s="2">
        <f>IFERROR(__xludf.DUMMYFUNCTION("GOOGLEFINANCE(A62, ""pe"")"),22.95)</f>
        <v>22.95</v>
      </c>
      <c r="E62" s="2">
        <f>IFERROR(__xludf.DUMMYFUNCTION("GOOGLEFINANCE(A62, ""eps"")"),2.73)</f>
        <v>2.73</v>
      </c>
    </row>
    <row r="63">
      <c r="A63" s="1" t="s">
        <v>66</v>
      </c>
      <c r="B63" s="2">
        <f>IFERROR(__xludf.DUMMYFUNCTION("GOOGLEFINANCE(A63, ""price"")"),281.62)</f>
        <v>281.62</v>
      </c>
      <c r="C63" s="2">
        <f>IFERROR(__xludf.DUMMYFUNCTION("GOOGLEFINANCE(A63, ""Change"")"),-0.93)</f>
        <v>-0.93</v>
      </c>
      <c r="D63" s="2">
        <f>IFERROR(__xludf.DUMMYFUNCTION("GOOGLEFINANCE(A63, ""pe"")"),29.18)</f>
        <v>29.18</v>
      </c>
      <c r="E63" s="2">
        <f>IFERROR(__xludf.DUMMYFUNCTION("GOOGLEFINANCE(A63, ""eps"")"),9.65)</f>
        <v>9.65</v>
      </c>
    </row>
    <row r="64">
      <c r="A64" s="1" t="s">
        <v>67</v>
      </c>
      <c r="B64" s="2">
        <f>IFERROR(__xludf.DUMMYFUNCTION("GOOGLEFINANCE(A64, ""price"")"),122.27)</f>
        <v>122.27</v>
      </c>
      <c r="C64" s="2">
        <f>IFERROR(__xludf.DUMMYFUNCTION("GOOGLEFINANCE(A64, ""Change"")"),-2.26)</f>
        <v>-2.26</v>
      </c>
      <c r="D64" s="2">
        <f>IFERROR(__xludf.DUMMYFUNCTION("GOOGLEFINANCE(A64, ""pe"")"),11.92)</f>
        <v>11.92</v>
      </c>
      <c r="E64" s="2">
        <f>IFERROR(__xludf.DUMMYFUNCTION("GOOGLEFINANCE(A64, ""eps"")"),10.26)</f>
        <v>10.26</v>
      </c>
    </row>
    <row r="65">
      <c r="A65" s="1" t="s">
        <v>68</v>
      </c>
      <c r="B65" s="2">
        <f>IFERROR(__xludf.DUMMYFUNCTION("GOOGLEFINANCE(A65, ""price"")"),350.15)</f>
        <v>350.15</v>
      </c>
      <c r="C65" s="2">
        <f>IFERROR(__xludf.DUMMYFUNCTION("GOOGLEFINANCE(A65, ""Change"")"),3.96)</f>
        <v>3.96</v>
      </c>
      <c r="D65" s="2">
        <f>IFERROR(__xludf.DUMMYFUNCTION("GOOGLEFINANCE(A65, ""pe"")"),12.39)</f>
        <v>12.39</v>
      </c>
      <c r="E65" s="2">
        <f>IFERROR(__xludf.DUMMYFUNCTION("GOOGLEFINANCE(A65, ""eps"")"),28.26)</f>
        <v>28.26</v>
      </c>
    </row>
    <row r="66">
      <c r="A66" s="1" t="s">
        <v>69</v>
      </c>
      <c r="B66" s="2">
        <f>IFERROR(__xludf.DUMMYFUNCTION("GOOGLEFINANCE(A66, ""price"")"),96.8)</f>
        <v>96.8</v>
      </c>
      <c r="C66" s="2">
        <f>IFERROR(__xludf.DUMMYFUNCTION("GOOGLEFINANCE(A66, ""Change"")"),0.86)</f>
        <v>0.86</v>
      </c>
      <c r="D66" s="2">
        <f>IFERROR(__xludf.DUMMYFUNCTION("GOOGLEFINANCE(A66, ""pe"")"),17.6)</f>
        <v>17.6</v>
      </c>
      <c r="E66" s="2">
        <f>IFERROR(__xludf.DUMMYFUNCTION("GOOGLEFINANCE(A66, ""eps"")"),5.5)</f>
        <v>5.5</v>
      </c>
    </row>
    <row r="67">
      <c r="A67" s="1" t="s">
        <v>70</v>
      </c>
      <c r="B67" s="2">
        <f>IFERROR(__xludf.DUMMYFUNCTION("GOOGLEFINANCE(A67, ""price"")"),289.58)</f>
        <v>289.58</v>
      </c>
      <c r="C67" s="2">
        <f>IFERROR(__xludf.DUMMYFUNCTION("GOOGLEFINANCE(A67, ""Change"")"),7.05)</f>
        <v>7.05</v>
      </c>
      <c r="D67" s="2">
        <f>IFERROR(__xludf.DUMMYFUNCTION("GOOGLEFINANCE(A67, ""pe"")"),12.0)</f>
        <v>12</v>
      </c>
      <c r="E67" s="2">
        <f>IFERROR(__xludf.DUMMYFUNCTION("GOOGLEFINANCE(A67, ""eps"")"),24.13)</f>
        <v>24.13</v>
      </c>
    </row>
    <row r="68">
      <c r="A68" s="1" t="s">
        <v>71</v>
      </c>
      <c r="B68" s="2">
        <f>IFERROR(__xludf.DUMMYFUNCTION("GOOGLEFINANCE(A68, ""price"")"),213.46)</f>
        <v>213.46</v>
      </c>
      <c r="C68" s="2">
        <f>IFERROR(__xludf.DUMMYFUNCTION("GOOGLEFINANCE(A68, ""Change"")"),-9.42)</f>
        <v>-9.42</v>
      </c>
      <c r="D68" s="2">
        <f>IFERROR(__xludf.DUMMYFUNCTION("GOOGLEFINANCE(A68, ""pe"")"),10.71)</f>
        <v>10.71</v>
      </c>
      <c r="E68" s="2">
        <f>IFERROR(__xludf.DUMMYFUNCTION("GOOGLEFINANCE(A68, ""eps"")"),19.93)</f>
        <v>19.93</v>
      </c>
    </row>
    <row r="69">
      <c r="A69" s="1" t="s">
        <v>72</v>
      </c>
      <c r="B69" s="2">
        <f>IFERROR(__xludf.DUMMYFUNCTION("GOOGLEFINANCE(A69, ""price"")"),130.46)</f>
        <v>130.46</v>
      </c>
      <c r="C69" s="2">
        <f>IFERROR(__xludf.DUMMYFUNCTION("GOOGLEFINANCE(A69, ""Change"")"),-3.08)</f>
        <v>-3.08</v>
      </c>
      <c r="D69" s="2">
        <f>IFERROR(__xludf.DUMMYFUNCTION("GOOGLEFINANCE(A69, ""pe"")"),29.06)</f>
        <v>29.06</v>
      </c>
      <c r="E69" s="2">
        <f>IFERROR(__xludf.DUMMYFUNCTION("GOOGLEFINANCE(A69, ""eps"")"),4.49)</f>
        <v>4.49</v>
      </c>
    </row>
    <row r="70">
      <c r="A70" s="1" t="s">
        <v>73</v>
      </c>
      <c r="B70" s="2">
        <f>IFERROR(__xludf.DUMMYFUNCTION("GOOGLEFINANCE(A70, ""price"")"),23.05)</f>
        <v>23.05</v>
      </c>
      <c r="C70" s="2">
        <f>IFERROR(__xludf.DUMMYFUNCTION("GOOGLEFINANCE(A70, ""Change"")"),0.19)</f>
        <v>0.19</v>
      </c>
      <c r="D70" s="2">
        <f>IFERROR(__xludf.DUMMYFUNCTION("GOOGLEFINANCE(A70, ""pe"")"),7.62)</f>
        <v>7.62</v>
      </c>
      <c r="E70" s="2">
        <f>IFERROR(__xludf.DUMMYFUNCTION("GOOGLEFINANCE(A70, ""eps"")"),3.02)</f>
        <v>3.02</v>
      </c>
    </row>
    <row r="71">
      <c r="A71" s="1" t="s">
        <v>74</v>
      </c>
      <c r="B71" s="2">
        <f>IFERROR(__xludf.DUMMYFUNCTION("GOOGLEFINANCE(A71, ""price"")"),153.54)</f>
        <v>153.54</v>
      </c>
      <c r="C71" s="2">
        <f>IFERROR(__xludf.DUMMYFUNCTION("GOOGLEFINANCE(A71, ""Change"")"),5.62)</f>
        <v>5.62</v>
      </c>
      <c r="D71" s="2" t="str">
        <f>IFERROR(__xludf.DUMMYFUNCTION("GOOGLEFINANCE(A71, ""pe"")"),"#N/A")</f>
        <v>#N/A</v>
      </c>
      <c r="E71" s="2">
        <f>IFERROR(__xludf.DUMMYFUNCTION("GOOGLEFINANCE(A71, ""eps"")"),-2.66)</f>
        <v>-2.66</v>
      </c>
    </row>
    <row r="72">
      <c r="A72" s="1" t="s">
        <v>75</v>
      </c>
      <c r="B72" s="2">
        <f>IFERROR(__xludf.DUMMYFUNCTION("GOOGLEFINANCE(A72, ""price"")"),139.98)</f>
        <v>139.98</v>
      </c>
      <c r="C72" s="2">
        <f>IFERROR(__xludf.DUMMYFUNCTION("GOOGLEFINANCE(A72, ""Change"")"),1.37)</f>
        <v>1.37</v>
      </c>
      <c r="D72" s="2">
        <f>IFERROR(__xludf.DUMMYFUNCTION("GOOGLEFINANCE(A72, ""pe"")"),87.4)</f>
        <v>87.4</v>
      </c>
      <c r="E72" s="2">
        <f>IFERROR(__xludf.DUMMYFUNCTION("GOOGLEFINANCE(A72, ""eps"")"),1.6)</f>
        <v>1.6</v>
      </c>
    </row>
    <row r="73">
      <c r="A73" s="1" t="s">
        <v>76</v>
      </c>
      <c r="B73" s="2">
        <f>IFERROR(__xludf.DUMMYFUNCTION("GOOGLEFINANCE(A73, ""price"")"),56.1)</f>
        <v>56.1</v>
      </c>
      <c r="C73" s="2">
        <f>IFERROR(__xludf.DUMMYFUNCTION("GOOGLEFINANCE(A73, ""Change"")"),-0.07)</f>
        <v>-0.07</v>
      </c>
      <c r="D73" s="2">
        <f>IFERROR(__xludf.DUMMYFUNCTION("GOOGLEFINANCE(A73, ""pe"")"),10.58)</f>
        <v>10.58</v>
      </c>
      <c r="E73" s="2">
        <f>IFERROR(__xludf.DUMMYFUNCTION("GOOGLEFINANCE(A73, ""eps"")"),5.3)</f>
        <v>5.3</v>
      </c>
    </row>
    <row r="74">
      <c r="A74" s="1" t="s">
        <v>77</v>
      </c>
      <c r="B74" s="2">
        <f>IFERROR(__xludf.DUMMYFUNCTION("GOOGLEFINANCE(A74, ""price"")"),73.13)</f>
        <v>73.13</v>
      </c>
      <c r="C74" s="2">
        <f>IFERROR(__xludf.DUMMYFUNCTION("GOOGLEFINANCE(A74, ""Change"")"),1.57)</f>
        <v>1.57</v>
      </c>
      <c r="D74" s="2">
        <f>IFERROR(__xludf.DUMMYFUNCTION("GOOGLEFINANCE(A74, ""pe"")"),15.4)</f>
        <v>15.4</v>
      </c>
      <c r="E74" s="2">
        <f>IFERROR(__xludf.DUMMYFUNCTION("GOOGLEFINANCE(A74, ""eps"")"),4.75)</f>
        <v>4.75</v>
      </c>
    </row>
    <row r="75">
      <c r="A75" s="1" t="s">
        <v>78</v>
      </c>
      <c r="B75" s="2">
        <f>IFERROR(__xludf.DUMMYFUNCTION("GOOGLEFINANCE(A75, ""price"")"),310.44)</f>
        <v>310.44</v>
      </c>
      <c r="C75" s="2">
        <f>IFERROR(__xludf.DUMMYFUNCTION("GOOGLEFINANCE(A75, ""Change"")"),8.99)</f>
        <v>8.99</v>
      </c>
      <c r="D75" s="2">
        <f>IFERROR(__xludf.DUMMYFUNCTION("GOOGLEFINANCE(A75, ""pe"")"),18.83)</f>
        <v>18.83</v>
      </c>
      <c r="E75" s="2">
        <f>IFERROR(__xludf.DUMMYFUNCTION("GOOGLEFINANCE(A75, ""eps"")"),16.48)</f>
        <v>16.48</v>
      </c>
    </row>
    <row r="76">
      <c r="A76" s="1" t="s">
        <v>79</v>
      </c>
      <c r="B76" s="2">
        <f>IFERROR(__xludf.DUMMYFUNCTION("GOOGLEFINANCE(A76, ""price"")"),778.36)</f>
        <v>778.36</v>
      </c>
      <c r="C76" s="2">
        <f>IFERROR(__xludf.DUMMYFUNCTION("GOOGLEFINANCE(A76, ""Change"")"),25.24)</f>
        <v>25.24</v>
      </c>
      <c r="D76" s="2">
        <f>IFERROR(__xludf.DUMMYFUNCTION("GOOGLEFINANCE(A76, ""pe"")"),19.24)</f>
        <v>19.24</v>
      </c>
      <c r="E76" s="2">
        <f>IFERROR(__xludf.DUMMYFUNCTION("GOOGLEFINANCE(A76, ""eps"")"),40.45)</f>
        <v>40.45</v>
      </c>
    </row>
    <row r="77">
      <c r="A77" s="1" t="s">
        <v>80</v>
      </c>
      <c r="B77" s="2">
        <f>IFERROR(__xludf.DUMMYFUNCTION("GOOGLEFINANCE(A77, ""price"")"),75.29)</f>
        <v>75.29</v>
      </c>
      <c r="C77" s="2">
        <f>IFERROR(__xludf.DUMMYFUNCTION("GOOGLEFINANCE(A77, ""Change"")"),0.97)</f>
        <v>0.97</v>
      </c>
      <c r="D77" s="2">
        <f>IFERROR(__xludf.DUMMYFUNCTION("GOOGLEFINANCE(A77, ""pe"")"),12.39)</f>
        <v>12.39</v>
      </c>
      <c r="E77" s="2">
        <f>IFERROR(__xludf.DUMMYFUNCTION("GOOGLEFINANCE(A77, ""eps"")"),6.08)</f>
        <v>6.08</v>
      </c>
    </row>
    <row r="78">
      <c r="A78" s="1" t="s">
        <v>81</v>
      </c>
      <c r="B78" s="2">
        <f>IFERROR(__xludf.DUMMYFUNCTION("GOOGLEFINANCE(A78, ""price"")"),995.9)</f>
        <v>995.9</v>
      </c>
      <c r="C78" s="2">
        <f>IFERROR(__xludf.DUMMYFUNCTION("GOOGLEFINANCE(A78, ""Change"")"),-23.5)</f>
        <v>-23.5</v>
      </c>
      <c r="D78" s="2">
        <f>IFERROR(__xludf.DUMMYFUNCTION("GOOGLEFINANCE(A78, ""pe"")"),64.09)</f>
        <v>64.09</v>
      </c>
      <c r="E78" s="2">
        <f>IFERROR(__xludf.DUMMYFUNCTION("GOOGLEFINANCE(A78, ""eps"")"),15.54)</f>
        <v>15.54</v>
      </c>
    </row>
    <row r="79">
      <c r="A79" s="1" t="s">
        <v>82</v>
      </c>
      <c r="B79" s="2">
        <f>IFERROR(__xludf.DUMMYFUNCTION("GOOGLEFINANCE(A79, ""price"")"),155.11)</f>
        <v>155.11</v>
      </c>
      <c r="C79" s="2">
        <f>IFERROR(__xludf.DUMMYFUNCTION("GOOGLEFINANCE(A79, ""Change"")"),-1.31)</f>
        <v>-1.31</v>
      </c>
      <c r="D79" s="2">
        <f>IFERROR(__xludf.DUMMYFUNCTION("GOOGLEFINANCE(A79, ""pe"")"),21.91)</f>
        <v>21.91</v>
      </c>
      <c r="E79" s="2">
        <f>IFERROR(__xludf.DUMMYFUNCTION("GOOGLEFINANCE(A79, ""eps"")"),7.08)</f>
        <v>7.08</v>
      </c>
    </row>
    <row r="80">
      <c r="A80" s="1" t="s">
        <v>83</v>
      </c>
      <c r="B80" s="2">
        <f>IFERROR(__xludf.DUMMYFUNCTION("GOOGLEFINANCE(A80, ""price"")"),285.59)</f>
        <v>285.59</v>
      </c>
      <c r="C80" s="2">
        <f>IFERROR(__xludf.DUMMYFUNCTION("GOOGLEFINANCE(A80, ""Change"")"),7.56)</f>
        <v>7.56</v>
      </c>
      <c r="D80" s="2">
        <f>IFERROR(__xludf.DUMMYFUNCTION("GOOGLEFINANCE(A80, ""pe"")"),24.14)</f>
        <v>24.14</v>
      </c>
      <c r="E80" s="2">
        <f>IFERROR(__xludf.DUMMYFUNCTION("GOOGLEFINANCE(A80, ""eps"")"),11.83)</f>
        <v>11.83</v>
      </c>
    </row>
    <row r="81">
      <c r="A81" s="1" t="s">
        <v>84</v>
      </c>
      <c r="B81" s="2">
        <f>IFERROR(__xludf.DUMMYFUNCTION("GOOGLEFINANCE(A81, ""price"")"),46.07)</f>
        <v>46.07</v>
      </c>
      <c r="C81" s="2">
        <f>IFERROR(__xludf.DUMMYFUNCTION("GOOGLEFINANCE(A81, ""Change"")"),-0.59)</f>
        <v>-0.59</v>
      </c>
      <c r="D81" s="2">
        <f>IFERROR(__xludf.DUMMYFUNCTION("GOOGLEFINANCE(A81, ""pe"")"),8.84)</f>
        <v>8.84</v>
      </c>
      <c r="E81" s="2">
        <f>IFERROR(__xludf.DUMMYFUNCTION("GOOGLEFINANCE(A81, ""eps"")"),5.21)</f>
        <v>5.21</v>
      </c>
    </row>
    <row r="82">
      <c r="A82" s="1" t="s">
        <v>85</v>
      </c>
      <c r="B82" s="2">
        <f>IFERROR(__xludf.DUMMYFUNCTION("GOOGLEFINANCE(A82, ""price"")"),280.32)</f>
        <v>280.32</v>
      </c>
      <c r="C82" s="2">
        <f>IFERROR(__xludf.DUMMYFUNCTION("GOOGLEFINANCE(A82, ""Change"")"),4.42)</f>
        <v>4.42</v>
      </c>
      <c r="D82" s="2">
        <f>IFERROR(__xludf.DUMMYFUNCTION("GOOGLEFINANCE(A82, ""pe"")"),25.62)</f>
        <v>25.62</v>
      </c>
      <c r="E82" s="2">
        <f>IFERROR(__xludf.DUMMYFUNCTION("GOOGLEFINANCE(A82, ""eps"")"),10.94)</f>
        <v>10.94</v>
      </c>
    </row>
    <row r="83">
      <c r="A83" s="1" t="s">
        <v>86</v>
      </c>
      <c r="B83" s="2">
        <f>IFERROR(__xludf.DUMMYFUNCTION("GOOGLEFINANCE(A83, ""price"")"),92.78)</f>
        <v>92.78</v>
      </c>
      <c r="C83" s="2">
        <f>IFERROR(__xludf.DUMMYFUNCTION("GOOGLEFINANCE(A83, ""Change"")"),2.83)</f>
        <v>2.83</v>
      </c>
      <c r="D83" s="2">
        <f>IFERROR(__xludf.DUMMYFUNCTION("GOOGLEFINANCE(A83, ""pe"")"),36.7)</f>
        <v>36.7</v>
      </c>
      <c r="E83" s="2">
        <f>IFERROR(__xludf.DUMMYFUNCTION("GOOGLEFINANCE(A83, ""eps"")"),2.53)</f>
        <v>2.53</v>
      </c>
    </row>
    <row r="84">
      <c r="A84" s="1" t="s">
        <v>87</v>
      </c>
      <c r="B84" s="2">
        <f>IFERROR(__xludf.DUMMYFUNCTION("GOOGLEFINANCE(A84, ""price"")"),89.38)</f>
        <v>89.38</v>
      </c>
      <c r="C84" s="2">
        <f>IFERROR(__xludf.DUMMYFUNCTION("GOOGLEFINANCE(A84, ""Change"")"),1.27)</f>
        <v>1.27</v>
      </c>
      <c r="D84" s="2">
        <f>IFERROR(__xludf.DUMMYFUNCTION("GOOGLEFINANCE(A84, ""pe"")"),21.56)</f>
        <v>21.56</v>
      </c>
      <c r="E84" s="2">
        <f>IFERROR(__xludf.DUMMYFUNCTION("GOOGLEFINANCE(A84, ""eps"")"),4.15)</f>
        <v>4.15</v>
      </c>
    </row>
    <row r="85">
      <c r="A85" s="1" t="s">
        <v>88</v>
      </c>
      <c r="B85" s="2">
        <f>IFERROR(__xludf.DUMMYFUNCTION("GOOGLEFINANCE(A85, ""price"")"),26.05)</f>
        <v>26.05</v>
      </c>
      <c r="C85" s="2">
        <f>IFERROR(__xludf.DUMMYFUNCTION("GOOGLEFINANCE(A85, ""Change"")"),0.3)</f>
        <v>0.3</v>
      </c>
      <c r="D85" s="2">
        <f>IFERROR(__xludf.DUMMYFUNCTION("GOOGLEFINANCE(A85, ""pe"")"),12.07)</f>
        <v>12.07</v>
      </c>
      <c r="E85" s="2">
        <f>IFERROR(__xludf.DUMMYFUNCTION("GOOGLEFINANCE(A85, ""eps"")"),0.02)</f>
        <v>0.02</v>
      </c>
    </row>
    <row r="86">
      <c r="A86" s="1" t="s">
        <v>89</v>
      </c>
      <c r="B86" s="2">
        <f>IFERROR(__xludf.DUMMYFUNCTION("GOOGLEFINANCE(A86, ""price"")"),154.19)</f>
        <v>154.19</v>
      </c>
      <c r="C86" s="2">
        <f>IFERROR(__xludf.DUMMYFUNCTION("GOOGLEFINANCE(A86, ""Change"")"),1.02)</f>
        <v>1.02</v>
      </c>
      <c r="D86" s="2">
        <f>IFERROR(__xludf.DUMMYFUNCTION("GOOGLEFINANCE(A86, ""pe"")"),12.0)</f>
        <v>12</v>
      </c>
      <c r="E86" s="2">
        <f>IFERROR(__xludf.DUMMYFUNCTION("GOOGLEFINANCE(A86, ""eps"")"),12.85)</f>
        <v>12.85</v>
      </c>
    </row>
    <row r="87">
      <c r="A87" s="1" t="s">
        <v>90</v>
      </c>
      <c r="B87" s="2">
        <f>IFERROR(__xludf.DUMMYFUNCTION("GOOGLEFINANCE(A87, ""price"")"),142.34)</f>
        <v>142.34</v>
      </c>
      <c r="C87" s="2">
        <f>IFERROR(__xludf.DUMMYFUNCTION("GOOGLEFINANCE(A87, ""Change"")"),1.44)</f>
        <v>1.44</v>
      </c>
      <c r="D87" s="2">
        <f>IFERROR(__xludf.DUMMYFUNCTION("GOOGLEFINANCE(A87, ""pe"")"),18.85)</f>
        <v>18.85</v>
      </c>
      <c r="E87" s="2">
        <f>IFERROR(__xludf.DUMMYFUNCTION("GOOGLEFINANCE(A87, ""eps"")"),7.55)</f>
        <v>7.55</v>
      </c>
    </row>
    <row r="88">
      <c r="A88" s="1" t="s">
        <v>91</v>
      </c>
      <c r="B88" s="2">
        <f>IFERROR(__xludf.DUMMYFUNCTION("GOOGLEFINANCE(A88, ""price"")"),48.51)</f>
        <v>48.51</v>
      </c>
      <c r="C88" s="2">
        <f>IFERROR(__xludf.DUMMYFUNCTION("GOOGLEFINANCE(A88, ""Change"")"),-0.26)</f>
        <v>-0.26</v>
      </c>
      <c r="D88" s="2">
        <f>IFERROR(__xludf.DUMMYFUNCTION("GOOGLEFINANCE(A88, ""pe"")"),23.53)</f>
        <v>23.53</v>
      </c>
      <c r="E88" s="2">
        <f>IFERROR(__xludf.DUMMYFUNCTION("GOOGLEFINANCE(A88, ""eps"")"),2.06)</f>
        <v>2.06</v>
      </c>
    </row>
    <row r="89">
      <c r="A89" s="1" t="s">
        <v>92</v>
      </c>
      <c r="B89" s="2">
        <f>IFERROR(__xludf.DUMMYFUNCTION("GOOGLEFINANCE(A89, ""price"")"),33.35)</f>
        <v>33.35</v>
      </c>
      <c r="C89" s="2">
        <f>IFERROR(__xludf.DUMMYFUNCTION("GOOGLEFINANCE(A89, ""Change"")"),-0.1)</f>
        <v>-0.1</v>
      </c>
      <c r="D89" s="2">
        <f>IFERROR(__xludf.DUMMYFUNCTION("GOOGLEFINANCE(A89, ""pe"")"),21.51)</f>
        <v>21.51</v>
      </c>
      <c r="E89" s="2">
        <f>IFERROR(__xludf.DUMMYFUNCTION("GOOGLEFINANCE(A89, ""eps"")"),1.55)</f>
        <v>1.55</v>
      </c>
    </row>
    <row r="90">
      <c r="A90" s="1" t="s">
        <v>93</v>
      </c>
      <c r="B90" s="2">
        <f>IFERROR(__xludf.DUMMYFUNCTION("GOOGLEFINANCE(A90, ""price"")"),126.13)</f>
        <v>126.13</v>
      </c>
      <c r="C90" s="2">
        <f>IFERROR(__xludf.DUMMYFUNCTION("GOOGLEFINANCE(A90, ""Change"")"),0.48)</f>
        <v>0.48</v>
      </c>
      <c r="D90" s="2">
        <f>IFERROR(__xludf.DUMMYFUNCTION("GOOGLEFINANCE(A90, ""pe"")"),21.84)</f>
        <v>21.84</v>
      </c>
      <c r="E90" s="2">
        <f>IFERROR(__xludf.DUMMYFUNCTION("GOOGLEFINANCE(A90, ""eps"")"),5.78)</f>
        <v>5.78</v>
      </c>
    </row>
    <row r="91">
      <c r="A91" s="1" t="s">
        <v>94</v>
      </c>
      <c r="B91" s="2">
        <f>IFERROR(__xludf.DUMMYFUNCTION("GOOGLEFINANCE(A91, ""price"")"),62.8)</f>
        <v>62.8</v>
      </c>
      <c r="C91" s="2">
        <f>IFERROR(__xludf.DUMMYFUNCTION("GOOGLEFINANCE(A91, ""Change"")"),0.49)</f>
        <v>0.49</v>
      </c>
      <c r="D91" s="2">
        <f>IFERROR(__xludf.DUMMYFUNCTION("GOOGLEFINANCE(A91, ""pe"")"),21.84)</f>
        <v>21.84</v>
      </c>
      <c r="E91" s="2">
        <f>IFERROR(__xludf.DUMMYFUNCTION("GOOGLEFINANCE(A91, ""eps"")"),2.88)</f>
        <v>2.88</v>
      </c>
    </row>
    <row r="92">
      <c r="A92" s="1" t="s">
        <v>95</v>
      </c>
      <c r="B92" s="2">
        <f>IFERROR(__xludf.DUMMYFUNCTION("GOOGLEFINANCE(A92, ""price"")"),42.6)</f>
        <v>42.6</v>
      </c>
      <c r="C92" s="2">
        <f>IFERROR(__xludf.DUMMYFUNCTION("GOOGLEFINANCE(A92, ""Change"")"),0.26)</f>
        <v>0.26</v>
      </c>
      <c r="D92" s="2">
        <f>IFERROR(__xludf.DUMMYFUNCTION("GOOGLEFINANCE(A92, ""pe"")"),15.6)</f>
        <v>15.6</v>
      </c>
      <c r="E92" s="2">
        <f>IFERROR(__xludf.DUMMYFUNCTION("GOOGLEFINANCE(A92, ""eps"")"),2.73)</f>
        <v>2.73</v>
      </c>
    </row>
    <row r="93">
      <c r="A93" s="1" t="s">
        <v>96</v>
      </c>
      <c r="B93" s="2">
        <f>IFERROR(__xludf.DUMMYFUNCTION("GOOGLEFINANCE(A93, ""price"")"),78.37)</f>
        <v>78.37</v>
      </c>
      <c r="C93" s="2">
        <f>IFERROR(__xludf.DUMMYFUNCTION("GOOGLEFINANCE(A93, ""Change"")"),0.15)</f>
        <v>0.15</v>
      </c>
      <c r="D93" s="2">
        <f>IFERROR(__xludf.DUMMYFUNCTION("GOOGLEFINANCE(A93, ""pe"")"),17.58)</f>
        <v>17.58</v>
      </c>
      <c r="E93" s="2">
        <f>IFERROR(__xludf.DUMMYFUNCTION("GOOGLEFINANCE(A93, ""eps"")"),4.46)</f>
        <v>4.46</v>
      </c>
    </row>
    <row r="94">
      <c r="A94" s="1" t="s">
        <v>97</v>
      </c>
      <c r="B94" s="2">
        <f>IFERROR(__xludf.DUMMYFUNCTION("GOOGLEFINANCE(A94, ""price"")"),94.23)</f>
        <v>94.23</v>
      </c>
      <c r="C94" s="2">
        <f>IFERROR(__xludf.DUMMYFUNCTION("GOOGLEFINANCE(A94, ""Change"")"),1.24)</f>
        <v>1.24</v>
      </c>
      <c r="D94" s="2">
        <f>IFERROR(__xludf.DUMMYFUNCTION("GOOGLEFINANCE(A94, ""pe"")"),23.19)</f>
        <v>23.19</v>
      </c>
      <c r="E94" s="2">
        <f>IFERROR(__xludf.DUMMYFUNCTION("GOOGLEFINANCE(A94, ""eps"")"),4.06)</f>
        <v>4.06</v>
      </c>
    </row>
    <row r="95">
      <c r="A95" s="1" t="s">
        <v>98</v>
      </c>
      <c r="B95" s="2">
        <f>IFERROR(__xludf.DUMMYFUNCTION("GOOGLEFINANCE(A95, ""price"")"),59.28)</f>
        <v>59.28</v>
      </c>
      <c r="C95" s="2">
        <f>IFERROR(__xludf.DUMMYFUNCTION("GOOGLEFINANCE(A95, ""Change"")"),2.59)</f>
        <v>2.59</v>
      </c>
      <c r="D95" s="2">
        <f>IFERROR(__xludf.DUMMYFUNCTION("GOOGLEFINANCE(A95, ""pe"")"),13.06)</f>
        <v>13.06</v>
      </c>
      <c r="E95" s="2">
        <f>IFERROR(__xludf.DUMMYFUNCTION("GOOGLEFINANCE(A95, ""eps"")"),4.54)</f>
        <v>4.54</v>
      </c>
    </row>
    <row r="96">
      <c r="A96" s="1" t="s">
        <v>99</v>
      </c>
      <c r="B96" s="2">
        <f>IFERROR(__xludf.DUMMYFUNCTION("GOOGLEFINANCE(A96, ""price"")"),90.39)</f>
        <v>90.39</v>
      </c>
      <c r="C96" s="2">
        <f>IFERROR(__xludf.DUMMYFUNCTION("GOOGLEFINANCE(A96, ""Change"")"),2.84)</f>
        <v>2.84</v>
      </c>
      <c r="D96" s="2">
        <f>IFERROR(__xludf.DUMMYFUNCTION("GOOGLEFINANCE(A96, ""pe"")"),23.96)</f>
        <v>23.96</v>
      </c>
      <c r="E96" s="2">
        <f>IFERROR(__xludf.DUMMYFUNCTION("GOOGLEFINANCE(A96, ""eps"")"),3.77)</f>
        <v>3.77</v>
      </c>
    </row>
  </sheetData>
  <drawing r:id="rId1"/>
</worksheet>
</file>